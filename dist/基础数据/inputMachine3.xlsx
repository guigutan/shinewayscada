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 l="1"/>
</calcChain>
</file>

<file path=xl/sharedStrings.xml><?xml version="1.0" encoding="utf-8"?>
<sst xmlns="http://schemas.openxmlformats.org/spreadsheetml/2006/main" count="563" uniqueCount="151">
  <si>
    <t>MachineID</t>
  </si>
  <si>
    <t>FullName</t>
  </si>
  <si>
    <t>Brand</t>
  </si>
  <si>
    <t>Model</t>
  </si>
  <si>
    <t>Detail</t>
  </si>
  <si>
    <t>Stype</t>
  </si>
  <si>
    <t>OutDate</t>
  </si>
  <si>
    <t>Status</t>
  </si>
  <si>
    <t>IpAddr</t>
  </si>
  <si>
    <t>PortNum</t>
  </si>
  <si>
    <t>OrderBy</t>
  </si>
  <si>
    <t>trCount</t>
  </si>
  <si>
    <t>tdCount</t>
  </si>
  <si>
    <t>colIndex</t>
  </si>
  <si>
    <t>tempItem</t>
  </si>
  <si>
    <t>tempOneToMany</t>
  </si>
  <si>
    <t>CreateUser</t>
  </si>
  <si>
    <t>CreateTime</t>
  </si>
  <si>
    <t>UpdateUser</t>
  </si>
  <si>
    <t>UpdateTime</t>
  </si>
  <si>
    <t>system</t>
    <phoneticPr fontId="1" type="noConversion"/>
  </si>
  <si>
    <t>Area</t>
    <phoneticPr fontId="1" type="noConversion"/>
  </si>
  <si>
    <t>MachineNO</t>
    <phoneticPr fontId="1" type="noConversion"/>
  </si>
  <si>
    <t>ShortName</t>
    <phoneticPr fontId="1" type="noConversion"/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</si>
  <si>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</si>
  <si>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</si>
  <si>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</si>
  <si>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</si>
  <si>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</si>
  <si>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</si>
  <si>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</si>
  <si>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</si>
  <si>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</si>
  <si>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</si>
  <si>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</si>
  <si>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</si>
  <si>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</si>
  <si>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</si>
  <si>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</si>
  <si>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</si>
  <si>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</si>
  <si>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</si>
  <si>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</si>
  <si>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</si>
  <si>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</si>
  <si>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</si>
  <si>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</si>
  <si>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</si>
  <si>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</si>
  <si>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</si>
  <si>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</si>
  <si>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</si>
  <si>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</si>
  <si>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</si>
  <si>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</si>
  <si>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</si>
  <si>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</si>
  <si>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</si>
  <si>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</si>
  <si>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</si>
  <si>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</si>
  <si>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</si>
  <si>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</si>
  <si>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</si>
  <si>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</si>
  <si>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</si>
  <si>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</si>
  <si>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</si>
  <si>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</si>
  <si>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</si>
  <si>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</si>
  <si>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</si>
  <si>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</si>
  <si>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</si>
  <si>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津上走心机B075-III</t>
  </si>
  <si>
    <t>津上走心机B0205-III</t>
  </si>
  <si>
    <t>津上走心机B0205-Ⅴ</t>
  </si>
  <si>
    <t>津上走心机S205A</t>
  </si>
  <si>
    <t>津上走心机B0326A-III</t>
  </si>
  <si>
    <t>捷程走心机A366D</t>
  </si>
  <si>
    <t>津上走心机B0385C</t>
  </si>
  <si>
    <t>捷程走心机D206</t>
  </si>
  <si>
    <t>津上走心机B075-III</t>
    <phoneticPr fontId="1" type="noConversion"/>
  </si>
  <si>
    <t>津上</t>
  </si>
  <si>
    <t>中聪走心机HS-932</t>
    <phoneticPr fontId="1" type="noConversion"/>
  </si>
  <si>
    <t>中聪</t>
  </si>
  <si>
    <t>捷程走心机A366D</t>
    <phoneticPr fontId="1" type="noConversion"/>
  </si>
  <si>
    <t>捷程</t>
  </si>
  <si>
    <t>B075-III</t>
  </si>
  <si>
    <t>B0205-III</t>
  </si>
  <si>
    <t>B0205-Ⅴ</t>
  </si>
  <si>
    <t>S205A</t>
  </si>
  <si>
    <t>B0326A-III</t>
  </si>
  <si>
    <t>B0385C</t>
  </si>
  <si>
    <t>HS-932</t>
    <phoneticPr fontId="1" type="noConversion"/>
  </si>
  <si>
    <t>A366D</t>
    <phoneticPr fontId="1" type="noConversion"/>
  </si>
  <si>
    <t>D206</t>
    <phoneticPr fontId="1" type="noConversion"/>
  </si>
  <si>
    <t>A366D</t>
    <phoneticPr fontId="1" type="noConversion"/>
  </si>
  <si>
    <t>三楼</t>
    <phoneticPr fontId="1" type="noConversion"/>
  </si>
  <si>
    <t>192.168.9.1</t>
  </si>
  <si>
    <t>192.168.9.2</t>
  </si>
  <si>
    <t>192.168.9.3</t>
  </si>
  <si>
    <t>192.168.9.4</t>
  </si>
  <si>
    <t>192.168.9.5</t>
  </si>
  <si>
    <t>192.168.9.6</t>
  </si>
  <si>
    <t>192.168.9.7</t>
  </si>
  <si>
    <t>192.168.9.8</t>
  </si>
  <si>
    <t>192.168.9.9</t>
  </si>
  <si>
    <t>192.168.9.10</t>
  </si>
  <si>
    <t>192.168.9.11</t>
  </si>
  <si>
    <t>192.168.9.12</t>
  </si>
  <si>
    <t>192.168.9.13</t>
  </si>
  <si>
    <t>192.168.9.14</t>
  </si>
  <si>
    <t>192.168.9.15</t>
  </si>
  <si>
    <t>192.168.9.16</t>
  </si>
  <si>
    <t>192.168.9.17</t>
  </si>
  <si>
    <t>192.168.9.18</t>
  </si>
  <si>
    <t>192.168.9.19</t>
  </si>
  <si>
    <t>192.168.9.20</t>
  </si>
  <si>
    <t>192.168.9.21</t>
  </si>
  <si>
    <t>192.168.9.22</t>
  </si>
  <si>
    <t>192.168.9.23</t>
  </si>
  <si>
    <t>192.168.9.24</t>
  </si>
  <si>
    <t>192.168.9.25</t>
  </si>
  <si>
    <t>192.168.9.26</t>
  </si>
  <si>
    <t>192.168.9.27</t>
  </si>
  <si>
    <t>192.168.9.28</t>
  </si>
  <si>
    <t>192.168.9.29</t>
  </si>
  <si>
    <t>192.168.9.30</t>
  </si>
  <si>
    <t>192.168.9.31</t>
  </si>
  <si>
    <t>192.168.9.32</t>
  </si>
  <si>
    <t>192.168.9.33</t>
  </si>
  <si>
    <t>192.168.9.34</t>
  </si>
  <si>
    <t>192.168.9.35</t>
  </si>
  <si>
    <t>192.168.9.36</t>
  </si>
  <si>
    <t>192.168.9.37</t>
  </si>
  <si>
    <t>192.168.9.38</t>
  </si>
  <si>
    <t>192.168.9.39</t>
  </si>
  <si>
    <t>192.168.9.40</t>
  </si>
  <si>
    <t>192.168.9.41</t>
  </si>
  <si>
    <t>192.168.9.42</t>
  </si>
  <si>
    <t>192.168.9.43</t>
  </si>
  <si>
    <t>192.168.9.44</t>
  </si>
  <si>
    <t>192.168.9.45</t>
  </si>
  <si>
    <t>192.168.9.46</t>
  </si>
  <si>
    <t>192.168.9.47</t>
  </si>
  <si>
    <t>192.168.9.48</t>
  </si>
  <si>
    <t>192.168.9.49</t>
  </si>
  <si>
    <t>192.168.9.50</t>
  </si>
  <si>
    <t>FANUC-Y47Y50Y51</t>
  </si>
  <si>
    <t>FANUC-Y93Y94Y95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</si>
</sst>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topLeftCell="A25" workbookViewId="0">
      <selection activeCell="I56" sqref="I56"/>
    </sheetView>
  </sheetViews>
  <sheetFormatPr defaultRowHeight="13.5" x14ac:dyDescent="0.15"/>
  <cols>
    <col min="1" max="3" width="12.625" customWidth="1"/>
    <col min="4" max="4" width="23.75" customWidth="1"/>
    <col min="5" max="7" width="12.625" customWidth="1"/>
    <col min="8" max="8" width="9.375" customWidth="1"/>
    <col min="9" max="9" width="12.625" customWidth="1"/>
    <col min="10" max="10" width="12.625" style="4" customWidth="1"/>
    <col min="11" max="23" width="12.625" customWidth="1"/>
    <col min="24" max="24" width="115" customWidth="1"/>
  </cols>
  <sheetData>
    <row r="1" spans="1:24" s="1" customFormat="1" ht="29.25" customHeight="1" x14ac:dyDescent="0.15">
      <c r="A1" s="2" t="s">
        <v>0</v>
      </c>
      <c r="B1" s="2" t="s">
        <v>22</v>
      </c>
      <c r="C1" s="2" t="s">
        <v>23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21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4" x14ac:dyDescent="0.15">
      <c r="B2" t="s">
        <v>24</v>
      </c>
      <c r="C2" t="s">
        <v>24</v>
      </c>
      <c r="D2" t="s">
        <v>82</v>
      </c>
      <c r="E2" t="s">
        <v>83</v>
      </c>
      <c r="F2" t="s">
        <v>88</v>
      </c>
      <c r="G2" t="s">
        <v>82</v>
      </c>
      <c r="H2" t="s">
        <v>98</v>
      </c>
      <c r="I2" t="s">
        <v>149</v>
      </c>
      <c r="J2" s="4">
        <v>44287</v>
      </c>
      <c r="K2">
        <v>1</v>
      </c>
      <c r="L2" t="s">
        <v>99</v>
      </c>
      <c r="M2">
        <v>8193</v>
      </c>
      <c r="N2">
        <v>1</v>
      </c>
      <c r="O2">
        <v>14</v>
      </c>
      <c r="P2">
        <v>8</v>
      </c>
      <c r="Q2">
        <v>8</v>
      </c>
      <c r="T2" t="s">
        <v>20</v>
      </c>
      <c r="V2" t="s">
        <v>20</v>
      </c>
      <c r="X2" t="str">
        <f>"('"&amp;B2&amp;"','"&amp;C2&amp;"','"&amp;D2&amp;"','"&amp;E2&amp;"','"&amp;F2&amp;"','"&amp;G2&amp;"','"&amp;H2&amp;"','"&amp;I2&amp;"','"&amp;TEXT(J2,"yyyy-mm-dd")&amp;"','"&amp;K2&amp;"','"&amp;L2&amp;"','"&amp;M2&amp;"','"&amp;N2&amp;"','"&amp;O2&amp;"','"&amp;P2&amp;"','"&amp;Q2&amp;"','"&amp;T2&amp;"','"&amp;V2&amp;"'),"</f>
        <v>('B1','B1','津上走心机B075-III','津上','B075-III','津上走心机B075-III','三楼','FANUC-Y47Y50Y51','2021-04-01','1','192.168.9.1','8193','1','14','8','8','system','system'),</v>
      </c>
    </row>
    <row r="3" spans="1:24" x14ac:dyDescent="0.15">
      <c r="B3" t="s">
        <v>25</v>
      </c>
      <c r="C3" t="s">
        <v>25</v>
      </c>
      <c r="D3" t="s">
        <v>74</v>
      </c>
      <c r="E3" t="s">
        <v>83</v>
      </c>
      <c r="F3" t="s">
        <v>88</v>
      </c>
      <c r="G3" t="s">
        <v>74</v>
      </c>
      <c r="H3" t="s">
        <v>98</v>
      </c>
      <c r="I3" t="s">
        <v>149</v>
      </c>
      <c r="J3" s="4">
        <v>44287</v>
      </c>
      <c r="K3">
        <v>1</v>
      </c>
      <c r="L3" t="s">
        <v>100</v>
      </c>
      <c r="M3">
        <v>8193</v>
      </c>
      <c r="N3">
        <v>2</v>
      </c>
      <c r="O3">
        <v>14</v>
      </c>
      <c r="P3">
        <v>8</v>
      </c>
      <c r="Q3">
        <v>16</v>
      </c>
      <c r="T3" t="s">
        <v>20</v>
      </c>
      <c r="V3" t="s">
        <v>20</v>
      </c>
      <c r="X3" t="str">
        <f t="shared" ref="X3:X51" si="0">"('"&amp;B3&amp;"','"&amp;C3&amp;"','"&amp;D3&amp;"','"&amp;E3&amp;"','"&amp;F3&amp;"','"&amp;G3&amp;"','"&amp;H3&amp;"','"&amp;I3&amp;"','"&amp;TEXT(J3,"yyyy-mm-dd")&amp;"','"&amp;K3&amp;"','"&amp;L3&amp;"','"&amp;M3&amp;"','"&amp;N3&amp;"','"&amp;O3&amp;"','"&amp;P3&amp;"','"&amp;Q3&amp;"','"&amp;T3&amp;"','"&amp;V3&amp;"'),"</f>
        <v>('B2','B2','津上走心机B075-III','津上','B075-III','津上走心机B075-III','三楼','FANUC-Y47Y50Y51','2021-04-01','1','192.168.9.2','8193','2','14','8','16','system','system'),</v>
      </c>
    </row>
    <row r="4" spans="1:24" x14ac:dyDescent="0.15">
      <c r="B4" t="s">
        <v>26</v>
      </c>
      <c r="C4" t="s">
        <v>26</v>
      </c>
      <c r="D4" t="s">
        <v>74</v>
      </c>
      <c r="E4" t="s">
        <v>83</v>
      </c>
      <c r="F4" t="s">
        <v>88</v>
      </c>
      <c r="G4" t="s">
        <v>74</v>
      </c>
      <c r="H4" t="s">
        <v>98</v>
      </c>
      <c r="I4" t="s">
        <v>149</v>
      </c>
      <c r="J4" s="4">
        <v>44287</v>
      </c>
      <c r="K4">
        <v>1</v>
      </c>
      <c r="L4" t="s">
        <v>101</v>
      </c>
      <c r="M4">
        <v>8193</v>
      </c>
      <c r="N4">
        <v>3</v>
      </c>
      <c r="O4">
        <v>14</v>
      </c>
      <c r="P4">
        <v>8</v>
      </c>
      <c r="Q4">
        <v>24</v>
      </c>
      <c r="T4" t="s">
        <v>20</v>
      </c>
      <c r="V4" t="s">
        <v>20</v>
      </c>
      <c r="X4" t="str">
        <f t="shared" si="0"/>
        <v>('B3','B3','津上走心机B075-III','津上','B075-III','津上走心机B075-III','三楼','FANUC-Y47Y50Y51','2021-04-01','1','192.168.9.3','8193','3','14','8','24','system','system'),</v>
      </c>
    </row>
    <row r="5" spans="1:24" x14ac:dyDescent="0.15">
      <c r="B5" t="s">
        <v>27</v>
      </c>
      <c r="C5" t="s">
        <v>27</v>
      </c>
      <c r="D5" t="s">
        <v>74</v>
      </c>
      <c r="E5" t="s">
        <v>83</v>
      </c>
      <c r="F5" t="s">
        <v>88</v>
      </c>
      <c r="G5" t="s">
        <v>74</v>
      </c>
      <c r="H5" t="s">
        <v>98</v>
      </c>
      <c r="I5" t="s">
        <v>149</v>
      </c>
      <c r="J5" s="4">
        <v>44287</v>
      </c>
      <c r="K5">
        <v>1</v>
      </c>
      <c r="L5" t="s">
        <v>102</v>
      </c>
      <c r="M5">
        <v>8193</v>
      </c>
      <c r="N5">
        <v>4</v>
      </c>
      <c r="O5">
        <v>14</v>
      </c>
      <c r="P5">
        <v>8</v>
      </c>
      <c r="Q5">
        <v>32</v>
      </c>
      <c r="T5" t="s">
        <v>20</v>
      </c>
      <c r="V5" t="s">
        <v>20</v>
      </c>
      <c r="X5" t="str">
        <f t="shared" si="0"/>
        <v>('B4','B4','津上走心机B075-III','津上','B075-III','津上走心机B075-III','三楼','FANUC-Y47Y50Y51','2021-04-01','1','192.168.9.4','8193','4','14','8','32','system','system'),</v>
      </c>
    </row>
    <row r="6" spans="1:24" x14ac:dyDescent="0.15">
      <c r="B6" t="s">
        <v>28</v>
      </c>
      <c r="C6" t="s">
        <v>28</v>
      </c>
      <c r="D6" t="s">
        <v>74</v>
      </c>
      <c r="E6" t="s">
        <v>83</v>
      </c>
      <c r="F6" t="s">
        <v>88</v>
      </c>
      <c r="G6" t="s">
        <v>74</v>
      </c>
      <c r="H6" t="s">
        <v>98</v>
      </c>
      <c r="I6" t="s">
        <v>149</v>
      </c>
      <c r="J6" s="4">
        <v>44287</v>
      </c>
      <c r="K6">
        <v>1</v>
      </c>
      <c r="L6" t="s">
        <v>103</v>
      </c>
      <c r="M6">
        <v>8193</v>
      </c>
      <c r="N6">
        <v>5</v>
      </c>
      <c r="O6">
        <v>14</v>
      </c>
      <c r="P6">
        <v>8</v>
      </c>
      <c r="Q6">
        <v>40</v>
      </c>
      <c r="T6" t="s">
        <v>20</v>
      </c>
      <c r="V6" t="s">
        <v>20</v>
      </c>
      <c r="X6" t="str">
        <f t="shared" si="0"/>
        <v>('B5','B5','津上走心机B075-III','津上','B075-III','津上走心机B075-III','三楼','FANUC-Y47Y50Y51','2021-04-01','1','192.168.9.5','8193','5','14','8','40','system','system'),</v>
      </c>
    </row>
    <row r="7" spans="1:24" x14ac:dyDescent="0.15">
      <c r="B7" t="s">
        <v>29</v>
      </c>
      <c r="C7" t="s">
        <v>29</v>
      </c>
      <c r="D7" t="s">
        <v>75</v>
      </c>
      <c r="E7" t="s">
        <v>83</v>
      </c>
      <c r="F7" t="s">
        <v>89</v>
      </c>
      <c r="G7" t="s">
        <v>75</v>
      </c>
      <c r="H7" t="s">
        <v>98</v>
      </c>
      <c r="I7" t="s">
        <v>149</v>
      </c>
      <c r="J7" s="4">
        <v>44348</v>
      </c>
      <c r="K7">
        <v>1</v>
      </c>
      <c r="L7" t="s">
        <v>104</v>
      </c>
      <c r="M7">
        <v>8193</v>
      </c>
      <c r="N7">
        <v>6</v>
      </c>
      <c r="O7">
        <v>14</v>
      </c>
      <c r="P7">
        <v>8</v>
      </c>
      <c r="Q7">
        <v>48</v>
      </c>
      <c r="T7" t="s">
        <v>20</v>
      </c>
      <c r="V7" t="s">
        <v>20</v>
      </c>
      <c r="X7" t="str">
        <f t="shared" si="0"/>
        <v>('B6','B6','津上走心机B0205-III','津上','B0205-III','津上走心机B0205-III','三楼','FANUC-Y47Y50Y51','2021-06-01','1','192.168.9.6','8193','6','14','8','48','system','system'),</v>
      </c>
    </row>
    <row r="8" spans="1:24" x14ac:dyDescent="0.15">
      <c r="B8" t="s">
        <v>30</v>
      </c>
      <c r="C8" t="s">
        <v>30</v>
      </c>
      <c r="D8" t="s">
        <v>75</v>
      </c>
      <c r="E8" t="s">
        <v>83</v>
      </c>
      <c r="F8" t="s">
        <v>89</v>
      </c>
      <c r="G8" t="s">
        <v>75</v>
      </c>
      <c r="H8" t="s">
        <v>98</v>
      </c>
      <c r="I8" t="s">
        <v>149</v>
      </c>
      <c r="J8" s="4">
        <v>44348</v>
      </c>
      <c r="K8">
        <v>1</v>
      </c>
      <c r="L8" t="s">
        <v>105</v>
      </c>
      <c r="M8">
        <v>8193</v>
      </c>
      <c r="N8">
        <v>7</v>
      </c>
      <c r="O8">
        <v>14</v>
      </c>
      <c r="P8">
        <v>8</v>
      </c>
      <c r="Q8">
        <v>56</v>
      </c>
      <c r="T8" t="s">
        <v>20</v>
      </c>
      <c r="V8" t="s">
        <v>20</v>
      </c>
      <c r="X8" t="str">
        <f t="shared" si="0"/>
        <v>('B7','B7','津上走心机B0205-III','津上','B0205-III','津上走心机B0205-III','三楼','FANUC-Y47Y50Y51','2021-06-01','1','192.168.9.7','8193','7','14','8','56','system','system'),</v>
      </c>
    </row>
    <row r="9" spans="1:24" x14ac:dyDescent="0.15">
      <c r="B9" t="s">
        <v>31</v>
      </c>
      <c r="C9" t="s">
        <v>31</v>
      </c>
      <c r="D9" t="s">
        <v>75</v>
      </c>
      <c r="E9" t="s">
        <v>83</v>
      </c>
      <c r="F9" t="s">
        <v>89</v>
      </c>
      <c r="G9" t="s">
        <v>75</v>
      </c>
      <c r="H9" t="s">
        <v>98</v>
      </c>
      <c r="I9" t="s">
        <v>149</v>
      </c>
      <c r="J9" s="4">
        <v>44348</v>
      </c>
      <c r="K9">
        <v>1</v>
      </c>
      <c r="L9" t="s">
        <v>106</v>
      </c>
      <c r="M9">
        <v>8193</v>
      </c>
      <c r="N9">
        <v>8</v>
      </c>
      <c r="O9">
        <v>14</v>
      </c>
      <c r="P9">
        <v>8</v>
      </c>
      <c r="Q9">
        <v>64</v>
      </c>
      <c r="T9" t="s">
        <v>20</v>
      </c>
      <c r="V9" t="s">
        <v>20</v>
      </c>
      <c r="X9" t="str">
        <f t="shared" si="0"/>
        <v>('B8','B8','津上走心机B0205-III','津上','B0205-III','津上走心机B0205-III','三楼','FANUC-Y47Y50Y51','2021-06-01','1','192.168.9.8','8193','8','14','8','64','system','system'),</v>
      </c>
    </row>
    <row r="10" spans="1:24" x14ac:dyDescent="0.15">
      <c r="B10" t="s">
        <v>32</v>
      </c>
      <c r="C10" t="s">
        <v>32</v>
      </c>
      <c r="D10" t="s">
        <v>75</v>
      </c>
      <c r="E10" t="s">
        <v>83</v>
      </c>
      <c r="F10" t="s">
        <v>89</v>
      </c>
      <c r="G10" t="s">
        <v>75</v>
      </c>
      <c r="H10" t="s">
        <v>98</v>
      </c>
      <c r="I10" t="s">
        <v>149</v>
      </c>
      <c r="J10" s="4">
        <v>44287</v>
      </c>
      <c r="K10">
        <v>1</v>
      </c>
      <c r="L10" t="s">
        <v>107</v>
      </c>
      <c r="M10">
        <v>8193</v>
      </c>
      <c r="N10">
        <v>9</v>
      </c>
      <c r="O10">
        <v>14</v>
      </c>
      <c r="P10">
        <v>8</v>
      </c>
      <c r="Q10">
        <v>72</v>
      </c>
      <c r="T10" t="s">
        <v>20</v>
      </c>
      <c r="V10" t="s">
        <v>20</v>
      </c>
      <c r="X10" t="str">
        <f t="shared" si="0"/>
        <v>('B9','B9','津上走心机B0205-III','津上','B0205-III','津上走心机B0205-III','三楼','FANUC-Y47Y50Y51','2021-04-01','1','192.168.9.9','8193','9','14','8','72','system','system'),</v>
      </c>
    </row>
    <row r="11" spans="1:24" x14ac:dyDescent="0.15">
      <c r="B11" t="s">
        <v>33</v>
      </c>
      <c r="C11" t="s">
        <v>33</v>
      </c>
      <c r="D11" t="s">
        <v>75</v>
      </c>
      <c r="E11" t="s">
        <v>83</v>
      </c>
      <c r="F11" t="s">
        <v>89</v>
      </c>
      <c r="G11" t="s">
        <v>75</v>
      </c>
      <c r="H11" t="s">
        <v>98</v>
      </c>
      <c r="I11" t="s">
        <v>149</v>
      </c>
      <c r="J11" s="4">
        <v>44287</v>
      </c>
      <c r="K11">
        <v>1</v>
      </c>
      <c r="L11" t="s">
        <v>108</v>
      </c>
      <c r="M11">
        <v>8193</v>
      </c>
      <c r="N11">
        <v>10</v>
      </c>
      <c r="O11">
        <v>14</v>
      </c>
      <c r="P11">
        <v>8</v>
      </c>
      <c r="Q11">
        <v>80</v>
      </c>
      <c r="T11" t="s">
        <v>20</v>
      </c>
      <c r="V11" t="s">
        <v>20</v>
      </c>
      <c r="X11" t="str">
        <f t="shared" si="0"/>
        <v>('B10','B10','津上走心机B0205-III','津上','B0205-III','津上走心机B0205-III','三楼','FANUC-Y47Y50Y51','2021-04-01','1','192.168.9.10','8193','10','14','8','80','system','system'),</v>
      </c>
    </row>
    <row r="12" spans="1:24" x14ac:dyDescent="0.15">
      <c r="B12" t="s">
        <v>34</v>
      </c>
      <c r="C12" t="s">
        <v>34</v>
      </c>
      <c r="D12" t="s">
        <v>75</v>
      </c>
      <c r="E12" t="s">
        <v>83</v>
      </c>
      <c r="F12" t="s">
        <v>89</v>
      </c>
      <c r="G12" t="s">
        <v>75</v>
      </c>
      <c r="H12" t="s">
        <v>98</v>
      </c>
      <c r="I12" t="s">
        <v>149</v>
      </c>
      <c r="J12" s="4">
        <v>44287</v>
      </c>
      <c r="K12">
        <v>1</v>
      </c>
      <c r="L12" t="s">
        <v>109</v>
      </c>
      <c r="M12">
        <v>8193</v>
      </c>
      <c r="N12">
        <v>11</v>
      </c>
      <c r="O12">
        <v>14</v>
      </c>
      <c r="P12">
        <v>8</v>
      </c>
      <c r="Q12">
        <v>88</v>
      </c>
      <c r="T12" t="s">
        <v>20</v>
      </c>
      <c r="V12" t="s">
        <v>20</v>
      </c>
      <c r="X12" t="str">
        <f t="shared" si="0"/>
        <v>('B11','B11','津上走心机B0205-III','津上','B0205-III','津上走心机B0205-III','三楼','FANUC-Y47Y50Y51','2021-04-01','1','192.168.9.11','8193','11','14','8','88','system','system'),</v>
      </c>
    </row>
    <row r="13" spans="1:24" x14ac:dyDescent="0.15">
      <c r="B13" t="s">
        <v>35</v>
      </c>
      <c r="C13" t="s">
        <v>35</v>
      </c>
      <c r="D13" t="s">
        <v>75</v>
      </c>
      <c r="E13" t="s">
        <v>83</v>
      </c>
      <c r="F13" t="s">
        <v>89</v>
      </c>
      <c r="G13" t="s">
        <v>75</v>
      </c>
      <c r="H13" t="s">
        <v>98</v>
      </c>
      <c r="I13" t="s">
        <v>149</v>
      </c>
      <c r="J13" s="4">
        <v>44287</v>
      </c>
      <c r="K13">
        <v>1</v>
      </c>
      <c r="L13" t="s">
        <v>110</v>
      </c>
      <c r="M13">
        <v>8193</v>
      </c>
      <c r="N13">
        <v>12</v>
      </c>
      <c r="O13">
        <v>14</v>
      </c>
      <c r="P13">
        <v>8</v>
      </c>
      <c r="Q13">
        <v>96</v>
      </c>
      <c r="T13" t="s">
        <v>20</v>
      </c>
      <c r="V13" t="s">
        <v>20</v>
      </c>
      <c r="X13" t="str">
        <f t="shared" si="0"/>
        <v>('B12','B12','津上走心机B0205-III','津上','B0205-III','津上走心机B0205-III','三楼','FANUC-Y47Y50Y51','2021-04-01','1','192.168.9.12','8193','12','14','8','96','system','system'),</v>
      </c>
    </row>
    <row r="14" spans="1:24" x14ac:dyDescent="0.15">
      <c r="B14" t="s">
        <v>36</v>
      </c>
      <c r="C14" t="s">
        <v>36</v>
      </c>
      <c r="D14" t="s">
        <v>75</v>
      </c>
      <c r="E14" t="s">
        <v>83</v>
      </c>
      <c r="F14" t="s">
        <v>89</v>
      </c>
      <c r="G14" t="s">
        <v>75</v>
      </c>
      <c r="H14" t="s">
        <v>98</v>
      </c>
      <c r="I14" t="s">
        <v>149</v>
      </c>
      <c r="J14" s="4">
        <v>44287</v>
      </c>
      <c r="K14">
        <v>1</v>
      </c>
      <c r="L14" t="s">
        <v>111</v>
      </c>
      <c r="M14">
        <v>8193</v>
      </c>
      <c r="N14">
        <v>13</v>
      </c>
      <c r="O14">
        <v>14</v>
      </c>
      <c r="P14">
        <v>8</v>
      </c>
      <c r="Q14">
        <v>104</v>
      </c>
      <c r="T14" t="s">
        <v>20</v>
      </c>
      <c r="V14" t="s">
        <v>20</v>
      </c>
      <c r="X14" t="str">
        <f t="shared" si="0"/>
        <v>('B13','B13','津上走心机B0205-III','津上','B0205-III','津上走心机B0205-III','三楼','FANUC-Y47Y50Y51','2021-04-01','1','192.168.9.13','8193','13','14','8','104','system','system'),</v>
      </c>
    </row>
    <row r="15" spans="1:24" x14ac:dyDescent="0.15">
      <c r="B15" t="s">
        <v>37</v>
      </c>
      <c r="C15" t="s">
        <v>37</v>
      </c>
      <c r="D15" t="s">
        <v>75</v>
      </c>
      <c r="E15" t="s">
        <v>83</v>
      </c>
      <c r="F15" t="s">
        <v>89</v>
      </c>
      <c r="G15" t="s">
        <v>75</v>
      </c>
      <c r="H15" t="s">
        <v>98</v>
      </c>
      <c r="I15" t="s">
        <v>149</v>
      </c>
      <c r="J15" s="4">
        <v>44287</v>
      </c>
      <c r="K15">
        <v>1</v>
      </c>
      <c r="L15" t="s">
        <v>112</v>
      </c>
      <c r="M15">
        <v>8193</v>
      </c>
      <c r="N15">
        <v>14</v>
      </c>
      <c r="O15">
        <v>14</v>
      </c>
      <c r="P15">
        <v>8</v>
      </c>
      <c r="Q15">
        <v>112</v>
      </c>
      <c r="T15" t="s">
        <v>20</v>
      </c>
      <c r="V15" t="s">
        <v>20</v>
      </c>
      <c r="X15" t="str">
        <f t="shared" si="0"/>
        <v>('B14','B14','津上走心机B0205-III','津上','B0205-III','津上走心机B0205-III','三楼','FANUC-Y47Y50Y51','2021-04-01','1','192.168.9.14','8193','14','14','8','112','system','system'),</v>
      </c>
    </row>
    <row r="16" spans="1:24" x14ac:dyDescent="0.15">
      <c r="B16" t="s">
        <v>38</v>
      </c>
      <c r="C16" t="s">
        <v>38</v>
      </c>
      <c r="D16" t="s">
        <v>76</v>
      </c>
      <c r="E16" t="s">
        <v>83</v>
      </c>
      <c r="F16" t="s">
        <v>90</v>
      </c>
      <c r="G16" t="s">
        <v>76</v>
      </c>
      <c r="H16" t="s">
        <v>98</v>
      </c>
      <c r="I16" t="s">
        <v>149</v>
      </c>
      <c r="J16" s="4">
        <v>45627</v>
      </c>
      <c r="K16">
        <v>1</v>
      </c>
      <c r="L16" t="s">
        <v>113</v>
      </c>
      <c r="M16">
        <v>8193</v>
      </c>
      <c r="N16">
        <v>15</v>
      </c>
      <c r="O16">
        <v>14</v>
      </c>
      <c r="P16">
        <v>8</v>
      </c>
      <c r="Q16">
        <v>47</v>
      </c>
      <c r="T16" t="s">
        <v>20</v>
      </c>
      <c r="V16" t="s">
        <v>20</v>
      </c>
      <c r="X16" t="str">
        <f t="shared" si="0"/>
        <v>('B15','B15','津上走心机B0205-Ⅴ','津上','B0205-Ⅴ','津上走心机B0205-Ⅴ','三楼','FANUC-Y47Y50Y51','2024-12-01','1','192.168.9.15','8193','15','14','8','47','system','system'),</v>
      </c>
    </row>
    <row r="17" spans="2:24" x14ac:dyDescent="0.15">
      <c r="B17" t="s">
        <v>39</v>
      </c>
      <c r="C17" t="s">
        <v>39</v>
      </c>
      <c r="D17" t="s">
        <v>76</v>
      </c>
      <c r="E17" t="s">
        <v>83</v>
      </c>
      <c r="F17" t="s">
        <v>90</v>
      </c>
      <c r="G17" t="s">
        <v>76</v>
      </c>
      <c r="H17" t="s">
        <v>98</v>
      </c>
      <c r="I17" t="s">
        <v>149</v>
      </c>
      <c r="J17" s="4">
        <v>45627</v>
      </c>
      <c r="K17">
        <v>1</v>
      </c>
      <c r="L17" t="s">
        <v>114</v>
      </c>
      <c r="M17">
        <v>8193</v>
      </c>
      <c r="N17">
        <v>16</v>
      </c>
      <c r="O17">
        <v>14</v>
      </c>
      <c r="P17">
        <v>8</v>
      </c>
      <c r="Q17">
        <v>55</v>
      </c>
      <c r="T17" t="s">
        <v>20</v>
      </c>
      <c r="V17" t="s">
        <v>20</v>
      </c>
      <c r="X17" t="str">
        <f t="shared" si="0"/>
        <v>('B16','B16','津上走心机B0205-Ⅴ','津上','B0205-Ⅴ','津上走心机B0205-Ⅴ','三楼','FANUC-Y47Y50Y51','2024-12-01','1','192.168.9.16','8193','16','14','8','55','system','system'),</v>
      </c>
    </row>
    <row r="18" spans="2:24" x14ac:dyDescent="0.15">
      <c r="B18" t="s">
        <v>40</v>
      </c>
      <c r="C18" t="s">
        <v>40</v>
      </c>
      <c r="D18" t="s">
        <v>76</v>
      </c>
      <c r="E18" t="s">
        <v>83</v>
      </c>
      <c r="F18" t="s">
        <v>90</v>
      </c>
      <c r="G18" t="s">
        <v>76</v>
      </c>
      <c r="H18" t="s">
        <v>98</v>
      </c>
      <c r="I18" t="s">
        <v>149</v>
      </c>
      <c r="J18" s="4">
        <v>45627</v>
      </c>
      <c r="K18">
        <v>1</v>
      </c>
      <c r="L18" t="s">
        <v>115</v>
      </c>
      <c r="M18">
        <v>8193</v>
      </c>
      <c r="N18">
        <v>17</v>
      </c>
      <c r="O18">
        <v>14</v>
      </c>
      <c r="P18">
        <v>8</v>
      </c>
      <c r="Q18">
        <v>63</v>
      </c>
      <c r="T18" t="s">
        <v>20</v>
      </c>
      <c r="V18" t="s">
        <v>20</v>
      </c>
      <c r="X18" t="str">
        <f t="shared" si="0"/>
        <v>('B17','B17','津上走心机B0205-Ⅴ','津上','B0205-Ⅴ','津上走心机B0205-Ⅴ','三楼','FANUC-Y47Y50Y51','2024-12-01','1','192.168.9.17','8193','17','14','8','63','system','system'),</v>
      </c>
    </row>
    <row r="19" spans="2:24" x14ac:dyDescent="0.15">
      <c r="B19" t="s">
        <v>41</v>
      </c>
      <c r="C19" t="s">
        <v>41</v>
      </c>
      <c r="D19" t="s">
        <v>76</v>
      </c>
      <c r="E19" t="s">
        <v>83</v>
      </c>
      <c r="F19" t="s">
        <v>90</v>
      </c>
      <c r="G19" t="s">
        <v>76</v>
      </c>
      <c r="H19" t="s">
        <v>98</v>
      </c>
      <c r="I19" t="s">
        <v>149</v>
      </c>
      <c r="J19" s="4">
        <v>45627</v>
      </c>
      <c r="K19">
        <v>1</v>
      </c>
      <c r="L19" t="s">
        <v>116</v>
      </c>
      <c r="M19">
        <v>8193</v>
      </c>
      <c r="N19">
        <v>18</v>
      </c>
      <c r="O19">
        <v>14</v>
      </c>
      <c r="P19">
        <v>8</v>
      </c>
      <c r="Q19">
        <v>71</v>
      </c>
      <c r="T19" t="s">
        <v>20</v>
      </c>
      <c r="V19" t="s">
        <v>20</v>
      </c>
      <c r="X19" t="str">
        <f t="shared" si="0"/>
        <v>('B18','B18','津上走心机B0205-Ⅴ','津上','B0205-Ⅴ','津上走心机B0205-Ⅴ','三楼','FANUC-Y47Y50Y51','2024-12-01','1','192.168.9.18','8193','18','14','8','71','system','system'),</v>
      </c>
    </row>
    <row r="20" spans="2:24" x14ac:dyDescent="0.15">
      <c r="B20" t="s">
        <v>42</v>
      </c>
      <c r="C20" t="s">
        <v>42</v>
      </c>
      <c r="D20" t="s">
        <v>75</v>
      </c>
      <c r="E20" t="s">
        <v>83</v>
      </c>
      <c r="F20" t="s">
        <v>89</v>
      </c>
      <c r="G20" t="s">
        <v>75</v>
      </c>
      <c r="H20" t="s">
        <v>98</v>
      </c>
      <c r="I20" t="s">
        <v>149</v>
      </c>
      <c r="J20" s="4">
        <v>44348</v>
      </c>
      <c r="K20">
        <v>1</v>
      </c>
      <c r="L20" t="s">
        <v>117</v>
      </c>
      <c r="M20">
        <v>8193</v>
      </c>
      <c r="N20">
        <v>19</v>
      </c>
      <c r="O20">
        <v>14</v>
      </c>
      <c r="P20">
        <v>8</v>
      </c>
      <c r="Q20">
        <v>79</v>
      </c>
      <c r="T20" t="s">
        <v>20</v>
      </c>
      <c r="V20" t="s">
        <v>20</v>
      </c>
      <c r="X20" t="str">
        <f t="shared" si="0"/>
        <v>('B19','B19','津上走心机B0205-III','津上','B0205-III','津上走心机B0205-III','三楼','FANUC-Y47Y50Y51','2021-06-01','1','192.168.9.19','8193','19','14','8','79','system','system'),</v>
      </c>
    </row>
    <row r="21" spans="2:24" x14ac:dyDescent="0.15">
      <c r="B21" t="s">
        <v>43</v>
      </c>
      <c r="C21" t="s">
        <v>43</v>
      </c>
      <c r="D21" t="s">
        <v>75</v>
      </c>
      <c r="E21" t="s">
        <v>83</v>
      </c>
      <c r="F21" t="s">
        <v>89</v>
      </c>
      <c r="G21" t="s">
        <v>75</v>
      </c>
      <c r="H21" t="s">
        <v>98</v>
      </c>
      <c r="I21" t="s">
        <v>149</v>
      </c>
      <c r="J21" s="4">
        <v>44348</v>
      </c>
      <c r="K21">
        <v>1</v>
      </c>
      <c r="L21" t="s">
        <v>118</v>
      </c>
      <c r="M21">
        <v>8193</v>
      </c>
      <c r="N21">
        <v>20</v>
      </c>
      <c r="O21">
        <v>14</v>
      </c>
      <c r="P21">
        <v>8</v>
      </c>
      <c r="Q21">
        <v>87</v>
      </c>
      <c r="T21" t="s">
        <v>20</v>
      </c>
      <c r="V21" t="s">
        <v>20</v>
      </c>
      <c r="X21" t="str">
        <f t="shared" si="0"/>
        <v>('B20','B20','津上走心机B0205-III','津上','B0205-III','津上走心机B0205-III','三楼','FANUC-Y47Y50Y51','2021-06-01','1','192.168.9.20','8193','20','14','8','87','system','system'),</v>
      </c>
    </row>
    <row r="22" spans="2:24" x14ac:dyDescent="0.15">
      <c r="B22" t="s">
        <v>44</v>
      </c>
      <c r="C22" t="s">
        <v>44</v>
      </c>
      <c r="D22" t="s">
        <v>75</v>
      </c>
      <c r="E22" t="s">
        <v>83</v>
      </c>
      <c r="F22" t="s">
        <v>89</v>
      </c>
      <c r="G22" t="s">
        <v>75</v>
      </c>
      <c r="H22" t="s">
        <v>98</v>
      </c>
      <c r="I22" t="s">
        <v>149</v>
      </c>
      <c r="J22" s="4">
        <v>44287</v>
      </c>
      <c r="K22">
        <v>1</v>
      </c>
      <c r="L22" t="s">
        <v>119</v>
      </c>
      <c r="M22">
        <v>8193</v>
      </c>
      <c r="N22">
        <v>21</v>
      </c>
      <c r="O22">
        <v>14</v>
      </c>
      <c r="P22">
        <v>8</v>
      </c>
      <c r="Q22">
        <v>95</v>
      </c>
      <c r="T22" t="s">
        <v>20</v>
      </c>
      <c r="V22" t="s">
        <v>20</v>
      </c>
      <c r="X22" t="str">
        <f t="shared" si="0"/>
        <v>('B21','B21','津上走心机B0205-III','津上','B0205-III','津上走心机B0205-III','三楼','FANUC-Y47Y50Y51','2021-04-01','1','192.168.9.21','8193','21','14','8','95','system','system'),</v>
      </c>
    </row>
    <row r="23" spans="2:24" x14ac:dyDescent="0.15">
      <c r="B23" t="s">
        <v>45</v>
      </c>
      <c r="C23" t="s">
        <v>45</v>
      </c>
      <c r="D23" t="s">
        <v>75</v>
      </c>
      <c r="E23" t="s">
        <v>83</v>
      </c>
      <c r="F23" t="s">
        <v>89</v>
      </c>
      <c r="G23" t="s">
        <v>75</v>
      </c>
      <c r="H23" t="s">
        <v>98</v>
      </c>
      <c r="I23" t="s">
        <v>149</v>
      </c>
      <c r="J23" s="4">
        <v>44287</v>
      </c>
      <c r="K23">
        <v>1</v>
      </c>
      <c r="L23" t="s">
        <v>120</v>
      </c>
      <c r="M23">
        <v>8193</v>
      </c>
      <c r="N23">
        <v>22</v>
      </c>
      <c r="O23">
        <v>14</v>
      </c>
      <c r="P23">
        <v>8</v>
      </c>
      <c r="Q23">
        <v>103</v>
      </c>
      <c r="T23" t="s">
        <v>20</v>
      </c>
      <c r="V23" t="s">
        <v>20</v>
      </c>
      <c r="X23" t="str">
        <f t="shared" si="0"/>
        <v>('B22','B22','津上走心机B0205-III','津上','B0205-III','津上走心机B0205-III','三楼','FANUC-Y47Y50Y51','2021-04-01','1','192.168.9.22','8193','22','14','8','103','system','system'),</v>
      </c>
    </row>
    <row r="24" spans="2:24" x14ac:dyDescent="0.15">
      <c r="B24" t="s">
        <v>46</v>
      </c>
      <c r="C24" t="s">
        <v>46</v>
      </c>
      <c r="D24" t="s">
        <v>75</v>
      </c>
      <c r="E24" t="s">
        <v>83</v>
      </c>
      <c r="F24" t="s">
        <v>89</v>
      </c>
      <c r="G24" t="s">
        <v>75</v>
      </c>
      <c r="H24" t="s">
        <v>98</v>
      </c>
      <c r="I24" t="s">
        <v>149</v>
      </c>
      <c r="J24" s="4">
        <v>44348</v>
      </c>
      <c r="K24">
        <v>1</v>
      </c>
      <c r="L24" t="s">
        <v>121</v>
      </c>
      <c r="M24">
        <v>8193</v>
      </c>
      <c r="N24">
        <v>23</v>
      </c>
      <c r="O24">
        <v>14</v>
      </c>
      <c r="P24">
        <v>8</v>
      </c>
      <c r="Q24">
        <v>111</v>
      </c>
      <c r="T24" t="s">
        <v>20</v>
      </c>
      <c r="V24" t="s">
        <v>20</v>
      </c>
      <c r="X24" t="str">
        <f t="shared" si="0"/>
        <v>('B23','B23','津上走心机B0205-III','津上','B0205-III','津上走心机B0205-III','三楼','FANUC-Y47Y50Y51','2021-06-01','1','192.168.9.23','8193','23','14','8','111','system','system'),</v>
      </c>
    </row>
    <row r="25" spans="2:24" x14ac:dyDescent="0.15">
      <c r="B25" t="s">
        <v>47</v>
      </c>
      <c r="C25" t="s">
        <v>47</v>
      </c>
      <c r="D25" t="s">
        <v>77</v>
      </c>
      <c r="E25" t="s">
        <v>83</v>
      </c>
      <c r="F25" t="s">
        <v>91</v>
      </c>
      <c r="G25" t="s">
        <v>77</v>
      </c>
      <c r="H25" t="s">
        <v>98</v>
      </c>
      <c r="I25" t="s">
        <v>150</v>
      </c>
      <c r="J25" s="4">
        <v>44105</v>
      </c>
      <c r="K25">
        <v>1</v>
      </c>
      <c r="L25" t="s">
        <v>122</v>
      </c>
      <c r="M25">
        <v>8193</v>
      </c>
      <c r="N25">
        <v>24</v>
      </c>
      <c r="O25">
        <v>14</v>
      </c>
      <c r="P25">
        <v>8</v>
      </c>
      <c r="Q25">
        <v>5</v>
      </c>
      <c r="T25" t="s">
        <v>20</v>
      </c>
      <c r="V25" t="s">
        <v>20</v>
      </c>
      <c r="X25" t="str">
        <f t="shared" si="0"/>
        <v>('B24','B24','津上走心机S205A','津上','S205A','津上走心机S205A','三楼','FANUC-Y93Y94Y95','2020-10-01','1','192.168.9.24','8193','24','14','8','5','system','system'),</v>
      </c>
    </row>
    <row r="26" spans="2:24" x14ac:dyDescent="0.15">
      <c r="B26" t="s">
        <v>48</v>
      </c>
      <c r="C26" t="s">
        <v>48</v>
      </c>
      <c r="D26" t="s">
        <v>77</v>
      </c>
      <c r="E26" t="s">
        <v>83</v>
      </c>
      <c r="F26" t="s">
        <v>91</v>
      </c>
      <c r="G26" t="s">
        <v>77</v>
      </c>
      <c r="H26" t="s">
        <v>98</v>
      </c>
      <c r="I26" t="s">
        <v>150</v>
      </c>
      <c r="J26" s="4">
        <v>44105</v>
      </c>
      <c r="K26">
        <v>1</v>
      </c>
      <c r="L26" t="s">
        <v>123</v>
      </c>
      <c r="M26">
        <v>8193</v>
      </c>
      <c r="N26">
        <v>25</v>
      </c>
      <c r="O26">
        <v>14</v>
      </c>
      <c r="P26">
        <v>8</v>
      </c>
      <c r="Q26">
        <v>13</v>
      </c>
      <c r="T26" t="s">
        <v>20</v>
      </c>
      <c r="V26" t="s">
        <v>20</v>
      </c>
      <c r="X26" t="str">
        <f t="shared" si="0"/>
        <v>('B25','B25','津上走心机S205A','津上','S205A','津上走心机S205A','三楼','FANUC-Y93Y94Y95','2020-10-01','1','192.168.9.25','8193','25','14','8','13','system','system'),</v>
      </c>
    </row>
    <row r="27" spans="2:24" x14ac:dyDescent="0.15">
      <c r="B27" t="s">
        <v>49</v>
      </c>
      <c r="C27" t="s">
        <v>49</v>
      </c>
      <c r="D27" t="s">
        <v>77</v>
      </c>
      <c r="E27" t="s">
        <v>83</v>
      </c>
      <c r="F27" t="s">
        <v>91</v>
      </c>
      <c r="G27" t="s">
        <v>77</v>
      </c>
      <c r="H27" t="s">
        <v>98</v>
      </c>
      <c r="I27" t="s">
        <v>150</v>
      </c>
      <c r="J27" s="4">
        <v>44105</v>
      </c>
      <c r="K27">
        <v>1</v>
      </c>
      <c r="L27" t="s">
        <v>124</v>
      </c>
      <c r="M27">
        <v>8193</v>
      </c>
      <c r="N27">
        <v>26</v>
      </c>
      <c r="O27">
        <v>14</v>
      </c>
      <c r="P27">
        <v>8</v>
      </c>
      <c r="Q27">
        <v>21</v>
      </c>
      <c r="T27" t="s">
        <v>20</v>
      </c>
      <c r="V27" t="s">
        <v>20</v>
      </c>
      <c r="X27" t="str">
        <f t="shared" si="0"/>
        <v>('B26','B26','津上走心机S205A','津上','S205A','津上走心机S205A','三楼','FANUC-Y93Y94Y95','2020-10-01','1','192.168.9.26','8193','26','14','8','21','system','system'),</v>
      </c>
    </row>
    <row r="28" spans="2:24" x14ac:dyDescent="0.15">
      <c r="B28" t="s">
        <v>50</v>
      </c>
      <c r="C28" t="s">
        <v>50</v>
      </c>
      <c r="D28" t="s">
        <v>77</v>
      </c>
      <c r="E28" t="s">
        <v>83</v>
      </c>
      <c r="F28" t="s">
        <v>91</v>
      </c>
      <c r="G28" t="s">
        <v>77</v>
      </c>
      <c r="H28" t="s">
        <v>98</v>
      </c>
      <c r="I28" t="s">
        <v>150</v>
      </c>
      <c r="J28" s="4">
        <v>44105</v>
      </c>
      <c r="K28">
        <v>1</v>
      </c>
      <c r="L28" t="s">
        <v>125</v>
      </c>
      <c r="M28">
        <v>8193</v>
      </c>
      <c r="N28">
        <v>27</v>
      </c>
      <c r="O28">
        <v>14</v>
      </c>
      <c r="P28">
        <v>8</v>
      </c>
      <c r="Q28">
        <v>29</v>
      </c>
      <c r="T28" t="s">
        <v>20</v>
      </c>
      <c r="V28" t="s">
        <v>20</v>
      </c>
      <c r="X28" t="str">
        <f t="shared" si="0"/>
        <v>('B27','B27','津上走心机S205A','津上','S205A','津上走心机S205A','三楼','FANUC-Y93Y94Y95','2020-10-01','1','192.168.9.27','8193','27','14','8','29','system','system'),</v>
      </c>
    </row>
    <row r="29" spans="2:24" x14ac:dyDescent="0.15">
      <c r="B29" t="s">
        <v>51</v>
      </c>
      <c r="C29" t="s">
        <v>51</v>
      </c>
      <c r="D29" t="s">
        <v>77</v>
      </c>
      <c r="E29" t="s">
        <v>83</v>
      </c>
      <c r="F29" t="s">
        <v>91</v>
      </c>
      <c r="G29" t="s">
        <v>77</v>
      </c>
      <c r="H29" t="s">
        <v>98</v>
      </c>
      <c r="I29" t="s">
        <v>150</v>
      </c>
      <c r="J29" s="4">
        <v>44105</v>
      </c>
      <c r="K29">
        <v>1</v>
      </c>
      <c r="L29" t="s">
        <v>126</v>
      </c>
      <c r="M29">
        <v>8193</v>
      </c>
      <c r="N29">
        <v>28</v>
      </c>
      <c r="O29">
        <v>14</v>
      </c>
      <c r="P29">
        <v>8</v>
      </c>
      <c r="Q29">
        <v>37</v>
      </c>
      <c r="T29" t="s">
        <v>20</v>
      </c>
      <c r="V29" t="s">
        <v>20</v>
      </c>
      <c r="X29" t="str">
        <f t="shared" si="0"/>
        <v>('B28','B28','津上走心机S205A','津上','S205A','津上走心机S205A','三楼','FANUC-Y93Y94Y95','2020-10-01','1','192.168.9.28','8193','28','14','8','37','system','system'),</v>
      </c>
    </row>
    <row r="30" spans="2:24" x14ac:dyDescent="0.15">
      <c r="B30" t="s">
        <v>52</v>
      </c>
      <c r="C30" t="s">
        <v>52</v>
      </c>
      <c r="D30" t="s">
        <v>77</v>
      </c>
      <c r="E30" t="s">
        <v>83</v>
      </c>
      <c r="F30" t="s">
        <v>91</v>
      </c>
      <c r="G30" t="s">
        <v>77</v>
      </c>
      <c r="H30" t="s">
        <v>98</v>
      </c>
      <c r="I30" t="s">
        <v>150</v>
      </c>
      <c r="J30" s="4">
        <v>44105</v>
      </c>
      <c r="K30">
        <v>1</v>
      </c>
      <c r="L30" t="s">
        <v>127</v>
      </c>
      <c r="M30">
        <v>8193</v>
      </c>
      <c r="N30">
        <v>29</v>
      </c>
      <c r="O30">
        <v>14</v>
      </c>
      <c r="P30">
        <v>8</v>
      </c>
      <c r="Q30">
        <v>4</v>
      </c>
      <c r="T30" t="s">
        <v>20</v>
      </c>
      <c r="V30" t="s">
        <v>20</v>
      </c>
      <c r="X30" t="str">
        <f t="shared" si="0"/>
        <v>('B29','B29','津上走心机S205A','津上','S205A','津上走心机S205A','三楼','FANUC-Y93Y94Y95','2020-10-01','1','192.168.9.29','8193','29','14','8','4','system','system'),</v>
      </c>
    </row>
    <row r="31" spans="2:24" x14ac:dyDescent="0.15">
      <c r="B31" t="s">
        <v>53</v>
      </c>
      <c r="C31" t="s">
        <v>53</v>
      </c>
      <c r="D31" t="s">
        <v>77</v>
      </c>
      <c r="E31" t="s">
        <v>83</v>
      </c>
      <c r="F31" t="s">
        <v>91</v>
      </c>
      <c r="G31" t="s">
        <v>77</v>
      </c>
      <c r="H31" t="s">
        <v>98</v>
      </c>
      <c r="I31" t="s">
        <v>150</v>
      </c>
      <c r="J31" s="4">
        <v>44105</v>
      </c>
      <c r="K31">
        <v>1</v>
      </c>
      <c r="L31" t="s">
        <v>128</v>
      </c>
      <c r="M31">
        <v>8193</v>
      </c>
      <c r="N31">
        <v>30</v>
      </c>
      <c r="O31">
        <v>14</v>
      </c>
      <c r="P31">
        <v>8</v>
      </c>
      <c r="Q31">
        <v>12</v>
      </c>
      <c r="T31" t="s">
        <v>20</v>
      </c>
      <c r="V31" t="s">
        <v>20</v>
      </c>
      <c r="X31" t="str">
        <f t="shared" si="0"/>
        <v>('B30','B30','津上走心机S205A','津上','S205A','津上走心机S205A','三楼','FANUC-Y93Y94Y95','2020-10-01','1','192.168.9.30','8193','30','14','8','12','system','system'),</v>
      </c>
    </row>
    <row r="32" spans="2:24" x14ac:dyDescent="0.15">
      <c r="B32" t="s">
        <v>54</v>
      </c>
      <c r="C32" t="s">
        <v>54</v>
      </c>
      <c r="D32" t="s">
        <v>77</v>
      </c>
      <c r="E32" t="s">
        <v>83</v>
      </c>
      <c r="F32" t="s">
        <v>91</v>
      </c>
      <c r="G32" t="s">
        <v>77</v>
      </c>
      <c r="H32" t="s">
        <v>98</v>
      </c>
      <c r="I32" t="s">
        <v>150</v>
      </c>
      <c r="J32" s="4">
        <v>44105</v>
      </c>
      <c r="K32">
        <v>1</v>
      </c>
      <c r="L32" t="s">
        <v>129</v>
      </c>
      <c r="M32">
        <v>8193</v>
      </c>
      <c r="N32">
        <v>31</v>
      </c>
      <c r="O32">
        <v>14</v>
      </c>
      <c r="P32">
        <v>8</v>
      </c>
      <c r="Q32">
        <v>20</v>
      </c>
      <c r="T32" t="s">
        <v>20</v>
      </c>
      <c r="V32" t="s">
        <v>20</v>
      </c>
      <c r="X32" t="str">
        <f t="shared" si="0"/>
        <v>('B31','B31','津上走心机S205A','津上','S205A','津上走心机S205A','三楼','FANUC-Y93Y94Y95','2020-10-01','1','192.168.9.31','8193','31','14','8','20','system','system'),</v>
      </c>
    </row>
    <row r="33" spans="2:24" x14ac:dyDescent="0.15">
      <c r="B33" t="s">
        <v>55</v>
      </c>
      <c r="C33" t="s">
        <v>55</v>
      </c>
      <c r="D33" t="s">
        <v>77</v>
      </c>
      <c r="E33" t="s">
        <v>83</v>
      </c>
      <c r="F33" t="s">
        <v>91</v>
      </c>
      <c r="G33" t="s">
        <v>77</v>
      </c>
      <c r="H33" t="s">
        <v>98</v>
      </c>
      <c r="I33" t="s">
        <v>150</v>
      </c>
      <c r="J33" s="4">
        <v>44105</v>
      </c>
      <c r="K33">
        <v>1</v>
      </c>
      <c r="L33" t="s">
        <v>130</v>
      </c>
      <c r="M33">
        <v>8193</v>
      </c>
      <c r="N33">
        <v>32</v>
      </c>
      <c r="O33">
        <v>14</v>
      </c>
      <c r="P33">
        <v>8</v>
      </c>
      <c r="Q33">
        <v>28</v>
      </c>
      <c r="T33" t="s">
        <v>20</v>
      </c>
      <c r="V33" t="s">
        <v>20</v>
      </c>
      <c r="X33" t="str">
        <f t="shared" si="0"/>
        <v>('B32','B32','津上走心机S205A','津上','S205A','津上走心机S205A','三楼','FANUC-Y93Y94Y95','2020-10-01','1','192.168.9.32','8193','32','14','8','28','system','system'),</v>
      </c>
    </row>
    <row r="34" spans="2:24" x14ac:dyDescent="0.15">
      <c r="B34" t="s">
        <v>56</v>
      </c>
      <c r="C34" t="s">
        <v>56</v>
      </c>
      <c r="D34" t="s">
        <v>77</v>
      </c>
      <c r="E34" t="s">
        <v>83</v>
      </c>
      <c r="F34" t="s">
        <v>91</v>
      </c>
      <c r="G34" t="s">
        <v>77</v>
      </c>
      <c r="H34" t="s">
        <v>98</v>
      </c>
      <c r="I34" t="s">
        <v>150</v>
      </c>
      <c r="J34" s="4">
        <v>44105</v>
      </c>
      <c r="K34">
        <v>1</v>
      </c>
      <c r="L34" t="s">
        <v>131</v>
      </c>
      <c r="M34">
        <v>8193</v>
      </c>
      <c r="N34">
        <v>33</v>
      </c>
      <c r="O34">
        <v>14</v>
      </c>
      <c r="P34">
        <v>8</v>
      </c>
      <c r="Q34">
        <v>36</v>
      </c>
      <c r="T34" t="s">
        <v>20</v>
      </c>
      <c r="V34" t="s">
        <v>20</v>
      </c>
      <c r="X34" t="str">
        <f t="shared" si="0"/>
        <v>('B33','B33','津上走心机S205A','津上','S205A','津上走心机S205A','三楼','FANUC-Y93Y94Y95','2020-10-01','1','192.168.9.33','8193','33','14','8','36','system','system'),</v>
      </c>
    </row>
    <row r="35" spans="2:24" x14ac:dyDescent="0.15">
      <c r="B35" t="s">
        <v>57</v>
      </c>
      <c r="C35" t="s">
        <v>57</v>
      </c>
      <c r="D35" t="s">
        <v>78</v>
      </c>
      <c r="E35" t="s">
        <v>83</v>
      </c>
      <c r="F35" t="s">
        <v>92</v>
      </c>
      <c r="G35" t="s">
        <v>78</v>
      </c>
      <c r="H35" t="s">
        <v>98</v>
      </c>
      <c r="I35" t="s">
        <v>150</v>
      </c>
      <c r="J35" s="4">
        <v>45658</v>
      </c>
      <c r="K35">
        <v>1</v>
      </c>
      <c r="L35" t="s">
        <v>132</v>
      </c>
      <c r="M35">
        <v>8193</v>
      </c>
      <c r="N35">
        <v>34</v>
      </c>
      <c r="O35">
        <v>14</v>
      </c>
      <c r="P35">
        <v>8</v>
      </c>
      <c r="Q35">
        <v>90</v>
      </c>
      <c r="T35" t="s">
        <v>20</v>
      </c>
      <c r="V35" t="s">
        <v>20</v>
      </c>
      <c r="X35" t="str">
        <f t="shared" si="0"/>
        <v>('B34','B34','津上走心机B0326A-III','津上','B0326A-III','津上走心机B0326A-III','三楼','FANUC-Y93Y94Y95','2025-01-01','1','192.168.9.34','8193','34','14','8','90','system','system'),</v>
      </c>
    </row>
    <row r="36" spans="2:24" x14ac:dyDescent="0.15">
      <c r="B36" t="s">
        <v>58</v>
      </c>
      <c r="C36" t="s">
        <v>58</v>
      </c>
      <c r="D36" t="s">
        <v>84</v>
      </c>
      <c r="E36" t="s">
        <v>85</v>
      </c>
      <c r="F36" t="s">
        <v>94</v>
      </c>
      <c r="G36" t="s">
        <v>84</v>
      </c>
      <c r="H36" t="s">
        <v>98</v>
      </c>
      <c r="I36" t="s">
        <v>150</v>
      </c>
      <c r="J36" s="4">
        <v>45627</v>
      </c>
      <c r="K36">
        <v>1</v>
      </c>
      <c r="L36" t="s">
        <v>133</v>
      </c>
      <c r="M36">
        <v>8193</v>
      </c>
      <c r="N36">
        <v>35</v>
      </c>
      <c r="O36">
        <v>14</v>
      </c>
      <c r="P36">
        <v>8</v>
      </c>
      <c r="Q36">
        <v>98</v>
      </c>
      <c r="T36" t="s">
        <v>20</v>
      </c>
      <c r="V36" t="s">
        <v>20</v>
      </c>
      <c r="X36" t="str">
        <f t="shared" si="0"/>
        <v>('B35','B35','中聪走心机HS-932','中聪','HS-932','中聪走心机HS-932','三楼','FANUC-Y93Y94Y95','2024-12-01','1','192.168.9.35','8193','35','14','8','98','system','system'),</v>
      </c>
    </row>
    <row r="37" spans="2:24" x14ac:dyDescent="0.15">
      <c r="B37" t="s">
        <v>59</v>
      </c>
      <c r="C37" t="s">
        <v>59</v>
      </c>
      <c r="D37" t="s">
        <v>86</v>
      </c>
      <c r="E37" t="s">
        <v>87</v>
      </c>
      <c r="F37" t="s">
        <v>95</v>
      </c>
      <c r="G37" t="s">
        <v>86</v>
      </c>
      <c r="H37" t="s">
        <v>98</v>
      </c>
      <c r="I37" t="s">
        <v>150</v>
      </c>
      <c r="J37" s="4">
        <v>44075</v>
      </c>
      <c r="K37">
        <v>1</v>
      </c>
      <c r="L37" t="s">
        <v>134</v>
      </c>
      <c r="M37">
        <v>8193</v>
      </c>
      <c r="N37">
        <v>36</v>
      </c>
      <c r="O37">
        <v>14</v>
      </c>
      <c r="P37">
        <v>8</v>
      </c>
      <c r="Q37">
        <v>106</v>
      </c>
      <c r="T37" t="s">
        <v>20</v>
      </c>
      <c r="V37" t="s">
        <v>20</v>
      </c>
      <c r="X37" t="str">
        <f t="shared" si="0"/>
        <v>('B36','B36','捷程走心机A366D','捷程','A366D','捷程走心机A366D','三楼','FANUC-Y93Y94Y95','2020-09-01','1','192.168.9.36','8193','36','14','8','106','system','system'),</v>
      </c>
    </row>
    <row r="38" spans="2:24" x14ac:dyDescent="0.15">
      <c r="B38" t="s">
        <v>60</v>
      </c>
      <c r="C38" t="s">
        <v>60</v>
      </c>
      <c r="D38" t="s">
        <v>78</v>
      </c>
      <c r="E38" t="s">
        <v>83</v>
      </c>
      <c r="F38" t="s">
        <v>92</v>
      </c>
      <c r="G38" t="s">
        <v>78</v>
      </c>
      <c r="H38" t="s">
        <v>98</v>
      </c>
      <c r="I38" t="s">
        <v>150</v>
      </c>
      <c r="J38" s="4">
        <v>45658</v>
      </c>
      <c r="K38">
        <v>1</v>
      </c>
      <c r="L38" t="s">
        <v>135</v>
      </c>
      <c r="M38">
        <v>8193</v>
      </c>
      <c r="N38">
        <v>37</v>
      </c>
      <c r="O38">
        <v>14</v>
      </c>
      <c r="P38">
        <v>8</v>
      </c>
      <c r="Q38">
        <v>81</v>
      </c>
      <c r="T38" t="s">
        <v>20</v>
      </c>
      <c r="V38" t="s">
        <v>20</v>
      </c>
      <c r="X38" t="str">
        <f t="shared" si="0"/>
        <v>('B37','B37','津上走心机B0326A-III','津上','B0326A-III','津上走心机B0326A-III','三楼','FANUC-Y93Y94Y95','2025-01-01','1','192.168.9.37','8193','37','14','8','81','system','system'),</v>
      </c>
    </row>
    <row r="39" spans="2:24" x14ac:dyDescent="0.15">
      <c r="B39" t="s">
        <v>61</v>
      </c>
      <c r="C39" t="s">
        <v>61</v>
      </c>
      <c r="D39" t="s">
        <v>80</v>
      </c>
      <c r="E39" t="s">
        <v>83</v>
      </c>
      <c r="F39" t="s">
        <v>93</v>
      </c>
      <c r="G39" t="s">
        <v>80</v>
      </c>
      <c r="H39" t="s">
        <v>98</v>
      </c>
      <c r="I39" t="s">
        <v>150</v>
      </c>
      <c r="J39" s="4">
        <v>45658</v>
      </c>
      <c r="K39">
        <v>1</v>
      </c>
      <c r="L39" t="s">
        <v>136</v>
      </c>
      <c r="M39">
        <v>8193</v>
      </c>
      <c r="N39">
        <v>38</v>
      </c>
      <c r="O39">
        <v>14</v>
      </c>
      <c r="P39">
        <v>8</v>
      </c>
      <c r="Q39">
        <v>89</v>
      </c>
      <c r="T39" t="s">
        <v>20</v>
      </c>
      <c r="V39" t="s">
        <v>20</v>
      </c>
      <c r="X39" t="str">
        <f t="shared" si="0"/>
        <v>('B38','B38','津上走心机B0385C','津上','B0385C','津上走心机B0385C','三楼','FANUC-Y93Y94Y95','2025-01-01','1','192.168.9.38','8193','38','14','8','89','system','system'),</v>
      </c>
    </row>
    <row r="40" spans="2:24" x14ac:dyDescent="0.15">
      <c r="B40" t="s">
        <v>62</v>
      </c>
      <c r="C40" t="s">
        <v>62</v>
      </c>
      <c r="D40" t="s">
        <v>81</v>
      </c>
      <c r="E40" t="s">
        <v>87</v>
      </c>
      <c r="F40" t="s">
        <v>96</v>
      </c>
      <c r="G40" t="s">
        <v>81</v>
      </c>
      <c r="H40" t="s">
        <v>98</v>
      </c>
      <c r="I40" t="s">
        <v>150</v>
      </c>
      <c r="J40" s="4">
        <v>44105</v>
      </c>
      <c r="K40">
        <v>1</v>
      </c>
      <c r="L40" t="s">
        <v>137</v>
      </c>
      <c r="M40">
        <v>8193</v>
      </c>
      <c r="N40">
        <v>39</v>
      </c>
      <c r="O40">
        <v>14</v>
      </c>
      <c r="P40">
        <v>8</v>
      </c>
      <c r="Q40">
        <v>97</v>
      </c>
      <c r="T40" t="s">
        <v>20</v>
      </c>
      <c r="V40" t="s">
        <v>20</v>
      </c>
      <c r="X40" t="str">
        <f t="shared" si="0"/>
        <v>('B39','B39','捷程走心机D206','捷程','D206','捷程走心机D206','三楼','FANUC-Y93Y94Y95','2020-10-01','1','192.168.9.39','8193','39','14','8','97','system','system'),</v>
      </c>
    </row>
    <row r="41" spans="2:24" x14ac:dyDescent="0.15">
      <c r="B41" t="s">
        <v>63</v>
      </c>
      <c r="C41" t="s">
        <v>63</v>
      </c>
      <c r="D41" t="s">
        <v>79</v>
      </c>
      <c r="E41" t="s">
        <v>87</v>
      </c>
      <c r="F41" t="s">
        <v>97</v>
      </c>
      <c r="G41" t="s">
        <v>79</v>
      </c>
      <c r="H41" t="s">
        <v>98</v>
      </c>
      <c r="I41" t="s">
        <v>150</v>
      </c>
      <c r="J41" s="4">
        <v>44075</v>
      </c>
      <c r="K41">
        <v>1</v>
      </c>
      <c r="L41" t="s">
        <v>138</v>
      </c>
      <c r="M41">
        <v>8193</v>
      </c>
      <c r="N41">
        <v>40</v>
      </c>
      <c r="O41">
        <v>14</v>
      </c>
      <c r="P41">
        <v>8</v>
      </c>
      <c r="Q41">
        <v>105</v>
      </c>
      <c r="T41" t="s">
        <v>20</v>
      </c>
      <c r="V41" t="s">
        <v>20</v>
      </c>
      <c r="X41" t="str">
        <f t="shared" si="0"/>
        <v>('B40','B40','捷程走心机A366D','捷程','A366D','捷程走心机A366D','三楼','FANUC-Y93Y94Y95','2020-09-01','1','192.168.9.40','8193','40','14','8','105','system','system'),</v>
      </c>
    </row>
    <row r="42" spans="2:24" x14ac:dyDescent="0.15">
      <c r="B42" t="s">
        <v>64</v>
      </c>
      <c r="C42" t="s">
        <v>64</v>
      </c>
      <c r="D42" t="s">
        <v>64</v>
      </c>
      <c r="E42" t="s">
        <v>83</v>
      </c>
      <c r="G42" t="s">
        <v>64</v>
      </c>
      <c r="H42" t="s">
        <v>98</v>
      </c>
      <c r="I42" t="s">
        <v>150</v>
      </c>
      <c r="J42" s="4">
        <v>1</v>
      </c>
      <c r="K42">
        <v>0</v>
      </c>
      <c r="L42" t="s">
        <v>139</v>
      </c>
      <c r="M42">
        <v>8193</v>
      </c>
      <c r="N42">
        <v>41</v>
      </c>
      <c r="O42">
        <v>14</v>
      </c>
      <c r="P42">
        <v>8</v>
      </c>
      <c r="Q42">
        <v>41</v>
      </c>
      <c r="T42" t="s">
        <v>20</v>
      </c>
      <c r="V42" t="s">
        <v>20</v>
      </c>
      <c r="X42" t="str">
        <f t="shared" si="0"/>
        <v>('B41','B41','B41','津上','','B41','三楼','FANUC-Y93Y94Y95','1900-01-01','0','192.168.9.41','8193','41','14','8','41','system','system'),</v>
      </c>
    </row>
    <row r="43" spans="2:24" x14ac:dyDescent="0.15">
      <c r="B43" t="s">
        <v>65</v>
      </c>
      <c r="C43" t="s">
        <v>65</v>
      </c>
      <c r="D43" t="s">
        <v>65</v>
      </c>
      <c r="E43" t="s">
        <v>83</v>
      </c>
      <c r="G43" t="s">
        <v>65</v>
      </c>
      <c r="H43" t="s">
        <v>98</v>
      </c>
      <c r="I43" t="s">
        <v>150</v>
      </c>
      <c r="J43" s="4">
        <v>1</v>
      </c>
      <c r="K43">
        <v>0</v>
      </c>
      <c r="L43" t="s">
        <v>140</v>
      </c>
      <c r="M43">
        <v>8193</v>
      </c>
      <c r="N43">
        <v>42</v>
      </c>
      <c r="O43">
        <v>14</v>
      </c>
      <c r="P43">
        <v>8</v>
      </c>
      <c r="Q43">
        <v>42</v>
      </c>
      <c r="T43" t="s">
        <v>20</v>
      </c>
      <c r="V43" t="s">
        <v>20</v>
      </c>
      <c r="X43" t="str">
        <f t="shared" si="0"/>
        <v>('B42','B42','B42','津上','','B42','三楼','FANUC-Y93Y94Y95','1900-01-01','0','192.168.9.42','8193','42','14','8','42','system','system'),</v>
      </c>
    </row>
    <row r="44" spans="2:24" x14ac:dyDescent="0.15">
      <c r="B44" t="s">
        <v>66</v>
      </c>
      <c r="C44" t="s">
        <v>66</v>
      </c>
      <c r="D44" t="s">
        <v>66</v>
      </c>
      <c r="E44" t="s">
        <v>83</v>
      </c>
      <c r="G44" t="s">
        <v>66</v>
      </c>
      <c r="H44" t="s">
        <v>98</v>
      </c>
      <c r="I44" t="s">
        <v>150</v>
      </c>
      <c r="J44" s="4">
        <v>1</v>
      </c>
      <c r="K44">
        <v>0</v>
      </c>
      <c r="L44" t="s">
        <v>141</v>
      </c>
      <c r="M44">
        <v>8193</v>
      </c>
      <c r="N44">
        <v>43</v>
      </c>
      <c r="O44">
        <v>14</v>
      </c>
      <c r="P44">
        <v>8</v>
      </c>
      <c r="Q44">
        <v>43</v>
      </c>
      <c r="T44" t="s">
        <v>20</v>
      </c>
      <c r="V44" t="s">
        <v>20</v>
      </c>
      <c r="X44" t="str">
        <f t="shared" si="0"/>
        <v>('B43','B43','B43','津上','','B43','三楼','FANUC-Y93Y94Y95','1900-01-01','0','192.168.9.43','8193','43','14','8','43','system','system'),</v>
      </c>
    </row>
    <row r="45" spans="2:24" x14ac:dyDescent="0.15">
      <c r="B45" t="s">
        <v>67</v>
      </c>
      <c r="C45" t="s">
        <v>67</v>
      </c>
      <c r="D45" t="s">
        <v>67</v>
      </c>
      <c r="E45" t="s">
        <v>83</v>
      </c>
      <c r="G45" t="s">
        <v>67</v>
      </c>
      <c r="H45" t="s">
        <v>98</v>
      </c>
      <c r="I45" t="s">
        <v>150</v>
      </c>
      <c r="J45" s="4">
        <v>1</v>
      </c>
      <c r="K45">
        <v>0</v>
      </c>
      <c r="L45" t="s">
        <v>142</v>
      </c>
      <c r="M45">
        <v>8193</v>
      </c>
      <c r="N45">
        <v>44</v>
      </c>
      <c r="O45">
        <v>14</v>
      </c>
      <c r="P45">
        <v>8</v>
      </c>
      <c r="Q45">
        <v>44</v>
      </c>
      <c r="T45" t="s">
        <v>20</v>
      </c>
      <c r="V45" t="s">
        <v>20</v>
      </c>
      <c r="X45" t="str">
        <f t="shared" si="0"/>
        <v>('B44','B44','B44','津上','','B44','三楼','FANUC-Y93Y94Y95','1900-01-01','0','192.168.9.44','8193','44','14','8','44','system','system'),</v>
      </c>
    </row>
    <row r="46" spans="2:24" x14ac:dyDescent="0.15">
      <c r="B46" t="s">
        <v>68</v>
      </c>
      <c r="C46" t="s">
        <v>68</v>
      </c>
      <c r="D46" t="s">
        <v>68</v>
      </c>
      <c r="E46" t="s">
        <v>83</v>
      </c>
      <c r="G46" t="s">
        <v>68</v>
      </c>
      <c r="H46" t="s">
        <v>98</v>
      </c>
      <c r="I46" t="s">
        <v>150</v>
      </c>
      <c r="J46" s="4">
        <v>1</v>
      </c>
      <c r="K46">
        <v>0</v>
      </c>
      <c r="L46" t="s">
        <v>143</v>
      </c>
      <c r="M46">
        <v>8193</v>
      </c>
      <c r="N46">
        <v>45</v>
      </c>
      <c r="O46">
        <v>14</v>
      </c>
      <c r="P46">
        <v>8</v>
      </c>
      <c r="Q46">
        <v>45</v>
      </c>
      <c r="T46" t="s">
        <v>20</v>
      </c>
      <c r="V46" t="s">
        <v>20</v>
      </c>
      <c r="X46" t="str">
        <f t="shared" si="0"/>
        <v>('B45','B45','B45','津上','','B45','三楼','FANUC-Y93Y94Y95','1900-01-01','0','192.168.9.45','8193','45','14','8','45','system','system'),</v>
      </c>
    </row>
    <row r="47" spans="2:24" x14ac:dyDescent="0.15">
      <c r="B47" t="s">
        <v>69</v>
      </c>
      <c r="C47" t="s">
        <v>69</v>
      </c>
      <c r="D47" t="s">
        <v>69</v>
      </c>
      <c r="E47" t="s">
        <v>83</v>
      </c>
      <c r="G47" t="s">
        <v>69</v>
      </c>
      <c r="H47" t="s">
        <v>98</v>
      </c>
      <c r="I47" t="s">
        <v>150</v>
      </c>
      <c r="J47" s="4">
        <v>1</v>
      </c>
      <c r="K47">
        <v>0</v>
      </c>
      <c r="L47" t="s">
        <v>144</v>
      </c>
      <c r="M47">
        <v>8193</v>
      </c>
      <c r="N47">
        <v>46</v>
      </c>
      <c r="O47">
        <v>14</v>
      </c>
      <c r="P47">
        <v>8</v>
      </c>
      <c r="Q47">
        <v>46</v>
      </c>
      <c r="T47" t="s">
        <v>20</v>
      </c>
      <c r="V47" t="s">
        <v>20</v>
      </c>
      <c r="X47" t="str">
        <f t="shared" si="0"/>
        <v>('B46','B46','B46','津上','','B46','三楼','FANUC-Y93Y94Y95','1900-01-01','0','192.168.9.46','8193','46','14','8','46','system','system'),</v>
      </c>
    </row>
    <row r="48" spans="2:24" x14ac:dyDescent="0.15">
      <c r="B48" t="s">
        <v>70</v>
      </c>
      <c r="C48" t="s">
        <v>70</v>
      </c>
      <c r="D48" t="s">
        <v>70</v>
      </c>
      <c r="E48" t="s">
        <v>83</v>
      </c>
      <c r="G48" t="s">
        <v>70</v>
      </c>
      <c r="H48" t="s">
        <v>98</v>
      </c>
      <c r="I48" t="s">
        <v>150</v>
      </c>
      <c r="J48" s="4">
        <v>1</v>
      </c>
      <c r="K48">
        <v>0</v>
      </c>
      <c r="L48" t="s">
        <v>145</v>
      </c>
      <c r="M48">
        <v>8193</v>
      </c>
      <c r="N48">
        <v>47</v>
      </c>
      <c r="O48">
        <v>14</v>
      </c>
      <c r="P48">
        <v>8</v>
      </c>
      <c r="Q48">
        <v>47</v>
      </c>
      <c r="T48" t="s">
        <v>20</v>
      </c>
      <c r="V48" t="s">
        <v>20</v>
      </c>
      <c r="X48" t="str">
        <f t="shared" si="0"/>
        <v>('B47','B47','B47','津上','','B47','三楼','FANUC-Y93Y94Y95','1900-01-01','0','192.168.9.47','8193','47','14','8','47','system','system'),</v>
      </c>
    </row>
    <row r="49" spans="2:24" x14ac:dyDescent="0.15">
      <c r="B49" t="s">
        <v>71</v>
      </c>
      <c r="C49" t="s">
        <v>71</v>
      </c>
      <c r="D49" t="s">
        <v>71</v>
      </c>
      <c r="E49" t="s">
        <v>83</v>
      </c>
      <c r="G49" t="s">
        <v>71</v>
      </c>
      <c r="H49" t="s">
        <v>98</v>
      </c>
      <c r="I49" t="s">
        <v>150</v>
      </c>
      <c r="J49" s="4">
        <v>1</v>
      </c>
      <c r="K49">
        <v>0</v>
      </c>
      <c r="L49" t="s">
        <v>146</v>
      </c>
      <c r="M49">
        <v>8193</v>
      </c>
      <c r="N49">
        <v>48</v>
      </c>
      <c r="O49">
        <v>14</v>
      </c>
      <c r="P49">
        <v>8</v>
      </c>
      <c r="Q49">
        <v>48</v>
      </c>
      <c r="T49" t="s">
        <v>20</v>
      </c>
      <c r="V49" t="s">
        <v>20</v>
      </c>
      <c r="X49" t="str">
        <f t="shared" si="0"/>
        <v>('B48','B48','B48','津上','','B48','三楼','FANUC-Y93Y94Y95','1900-01-01','0','192.168.9.48','8193','48','14','8','48','system','system'),</v>
      </c>
    </row>
    <row r="50" spans="2:24" x14ac:dyDescent="0.15">
      <c r="B50" t="s">
        <v>72</v>
      </c>
      <c r="C50" t="s">
        <v>72</v>
      </c>
      <c r="D50" t="s">
        <v>72</v>
      </c>
      <c r="E50" t="s">
        <v>83</v>
      </c>
      <c r="G50" t="s">
        <v>72</v>
      </c>
      <c r="H50" t="s">
        <v>98</v>
      </c>
      <c r="I50" t="s">
        <v>150</v>
      </c>
      <c r="J50" s="4">
        <v>1</v>
      </c>
      <c r="K50">
        <v>0</v>
      </c>
      <c r="L50" t="s">
        <v>147</v>
      </c>
      <c r="M50">
        <v>8193</v>
      </c>
      <c r="N50">
        <v>49</v>
      </c>
      <c r="O50">
        <v>14</v>
      </c>
      <c r="P50">
        <v>8</v>
      </c>
      <c r="Q50">
        <v>49</v>
      </c>
      <c r="T50" t="s">
        <v>20</v>
      </c>
      <c r="V50" t="s">
        <v>20</v>
      </c>
      <c r="X50" t="str">
        <f t="shared" si="0"/>
        <v>('B49','B49','B49','津上','','B49','三楼','FANUC-Y93Y94Y95','1900-01-01','0','192.168.9.49','8193','49','14','8','49','system','system'),</v>
      </c>
    </row>
    <row r="51" spans="2:24" x14ac:dyDescent="0.15">
      <c r="B51" t="s">
        <v>73</v>
      </c>
      <c r="C51" t="s">
        <v>73</v>
      </c>
      <c r="D51" t="s">
        <v>73</v>
      </c>
      <c r="E51" t="s">
        <v>83</v>
      </c>
      <c r="G51" t="s">
        <v>73</v>
      </c>
      <c r="H51" t="s">
        <v>98</v>
      </c>
      <c r="I51" t="s">
        <v>150</v>
      </c>
      <c r="J51" s="4">
        <v>1</v>
      </c>
      <c r="K51">
        <v>0</v>
      </c>
      <c r="L51" t="s">
        <v>148</v>
      </c>
      <c r="M51">
        <v>8193</v>
      </c>
      <c r="N51">
        <v>50</v>
      </c>
      <c r="O51">
        <v>14</v>
      </c>
      <c r="P51">
        <v>8</v>
      </c>
      <c r="Q51">
        <v>50</v>
      </c>
      <c r="T51" t="s">
        <v>20</v>
      </c>
      <c r="V51" t="s">
        <v>20</v>
      </c>
      <c r="X51" t="str">
        <f t="shared" si="0"/>
        <v>('B50','B50','B50','津上','','B50','三楼','FANUC-Y93Y94Y95','1900-01-01','0','192.168.9.50','8193','50','14','8','50','system','system'),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2026-04-08T09:33:42Z</dcterms:modified>
</cp:coreProperties>
</file>